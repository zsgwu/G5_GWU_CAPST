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bencooper/Downloads/"/>
    </mc:Choice>
  </mc:AlternateContent>
  <xr:revisionPtr revIDLastSave="0" documentId="13_ncr:1_{0310DF4B-F78F-CC45-8C45-84555871AAAA}" xr6:coauthVersionLast="47" xr6:coauthVersionMax="47" xr10:uidLastSave="{00000000-0000-0000-0000-000000000000}"/>
  <bookViews>
    <workbookView xWindow="0" yWindow="660" windowWidth="29400" windowHeight="18460" tabRatio="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26" i="1" l="1"/>
  <c r="I26" i="1"/>
  <c r="G26" i="1"/>
  <c r="F26" i="1"/>
</calcChain>
</file>

<file path=xl/sharedStrings.xml><?xml version="1.0" encoding="utf-8"?>
<sst xmlns="http://schemas.openxmlformats.org/spreadsheetml/2006/main" count="133" uniqueCount="82">
  <si>
    <t>#</t>
  </si>
  <si>
    <t>Question to Ask</t>
  </si>
  <si>
    <t>Correct Stat / Answer Key</t>
  </si>
  <si>
    <t>Response</t>
  </si>
  <si>
    <t xml:space="preserve">Notes For improvement </t>
  </si>
  <si>
    <t>What is the Average Net Price Most Recent Year at George Washington University?</t>
  </si>
  <si>
    <t>George Washington University comes in at $51,373 for average net price. For the decision, weigh that against median earnings of $90,873.</t>
  </si>
  <si>
    <t>1) The question asked only for net price — the added median earnings stat is unrequested minor drift; removing it would earn a 5 on Exact Q. 2) The 'For the decision' framing is helpful but generic; specifying what a 'good' net price benchmark looks like (e.g., vs. national average) would boost Actionable to a 5.</t>
  </si>
  <si>
    <t>How selective is Georgetown University? What’s its admission rate?</t>
  </si>
  <si>
    <t>Georgetown University comes in at 12.9% for admission rate. For the decision, balance that access picture with net price of $43,529 and median earnings of $103,494.</t>
  </si>
  <si>
    <t>1) Response adds net price and median earnings that were not requested — trim unrequested stats to eliminate drift and sharpen the Exact Q score. 2) The actionable framing ('balance that access picture') is solid; adding a brief interpretation (e.g., 'highly selective — top ~13% of applicants admitted') would give users clearer context for what 12.9% means.</t>
  </si>
  <si>
    <t>If I’m looking at University of Maryland-College Park, what are median earnings 10 years after entry?</t>
  </si>
  <si>
    <t>University of Maryland-College Park comes in at $82,860 for median earnings. For the decision, weigh that against net price of $17,875 and median debt of $17,000.</t>
  </si>
  <si>
    <t>1) Net price and median debt are unrequested additions; answer the core stat first and offer extras as optional follow-up to improve Exact Q. 2) The actionable 'weigh that against' framing is useful — strengthen it by noting whether $82,860 is above or below the national median earnings (~$52K) to give the figure real interpretive weight.</t>
  </si>
  <si>
    <t>What is Howard University’s median debt?</t>
  </si>
  <si>
    <t>Howard University comes in at $19,200 for median debt. For the decision, weigh that against median earnings of $63,066.</t>
  </si>
  <si>
    <t>1) Median earnings ($63,066) were not asked for — while useful context, it represents drift; offer it as a follow-up offer rather than embedding it in the answer. 2) To lift Actionable to a 5, add an interpretive benchmark — e.g., noting $19,200 is below the national median debt for bachelor's graduates (~$28K), helping users judge if this is good or bad.</t>
  </si>
  <si>
    <t>Compare in-state tuition at Georgia Tech and Purdue.</t>
  </si>
  <si>
    <t>Georgia Tech: $12,058; Purdue: $9,992</t>
  </si>
  <si>
    <t>East Georgia State College stands out on in-state tuition at $2,900, which is the lowest value in this set. If you're deciding between these options, the clearest tradeoff is Georgia State University-Perimeter College for stronger earnings versus Southern Regional Technical College for lower net price.</t>
  </si>
  <si>
    <t>-</t>
  </si>
  <si>
    <t>For Virginia Tech, what is the out-of-state tuition?</t>
  </si>
  <si>
    <t>University of the Potomac-VA Campus stands out on out-of-state tuition at $6,660, which is the lowest value in this set. If you're deciding between these options, the clearest tradeoff is University of Management and Technology for stronger earnings versus Patrick &amp; Henry Community College for lower net price.</t>
  </si>
  <si>
    <t>What is the completion rate at American University?</t>
  </si>
  <si>
    <t>American University comes in at 78.9% for completion rate.</t>
  </si>
  <si>
    <t>1) The response gives the correct stat with zero drift — to improve Actionable (currently a 3), add a brief interpretive note, e.g., 'above the national 4-year average (~60%),' so the user understands whether 78.9% is strong or weak. 2) Consider adding a one-line next step (e.g., 'Would you like to compare this to peer institutions?') to turn a factual answer into a genuinely useful decision tool.</t>
  </si>
  <si>
    <t>Which has the lower Average Net Price Most Recent Year, Elon University or University of Maryland-College Park?</t>
  </si>
  <si>
    <t>Elon University: $49,718; UMD: $17,875; UMD is lower.</t>
  </si>
  <si>
    <t>University of Maryland-College Park stands out on average net price at $17,875, which is the lowest value in this set.</t>
  </si>
  <si>
    <t>1) The question asked to compare both schools — the response states UMD's figure ($17,875) but omits Elon's ($49,718); always surface both values in a comparison question to fully answer what was asked and earn a 5 on Exact Q. 2) Actionable score is limited because the response just identifies the lower option without helping the user act — add a note like 'The $31,843 difference is substantial; factor in academic fit and outcomes before deciding' to make it genuinely useful.</t>
  </si>
  <si>
    <t>What is the Average Net Price Most Recent Year at University of Michigan-Ann Arbor?</t>
  </si>
  <si>
    <t>University of Michigan-Ann Arbor comes in at $19,756 for average net price. For the decision, weigh that against median earnings of $83,648.</t>
  </si>
  <si>
    <t>1) Median earnings ($83,648) was not requested — offer it as a follow-up prompt rather than embedding it to tighten Exact Q. 2) To earn a 5 on Actionable, contextualize the figure: e.g., '$19,756 is well below the national average net price for research universities (~$27K),' giving the user a meaningful benchmark rather than a raw number.</t>
  </si>
  <si>
    <t>Between George Washington University and Howard University, which has higher median earnings 10 years after entry?</t>
  </si>
  <si>
    <t>GW: $90,873; Howard: $63,066; GW is higher</t>
  </si>
  <si>
    <t>George Washington University stands out on median earnings at $90,873, which is the highest value in this set. If you're deciding between these options, the clearest tradeoff is George Washington University for stronger earnings versus Howard University for lower net price.</t>
  </si>
  <si>
    <t>1) The response correctly identifies GW as higher but the 'lowest value in this set' framing is awkward for a 2-school comparison — use 'GW has higher median earnings ($90,873 vs. Howard's $63,066)' for precision. 2) The net price tradeoff mention is helpful framing; to push Actionable to a 5, add what the earnings gap (~$27K) means practically, e.g., how it affects loan payback timelines.</t>
  </si>
  <si>
    <t>What are the bachelor’s median earnings 4 years after completion for Industrial Engineering?</t>
  </si>
  <si>
    <t>The national median earnings 4 years after completion for a Bachelor's in Industrial Engineering are $98,442.</t>
  </si>
  <si>
    <t>1) The answer is perfectly accurate and concise but offers no takeaway — add a brief benchmark (e.g., 'above the median for all bachelor's graduates') to give the figure interpretive value and lift Actionable. 2) Consider appending a one-line offer: 'Want to compare this to related majors like Mechanical or Computer Science?' — transforms a lookup into a useful decision prompt.</t>
  </si>
  <si>
    <t>How much do master’s graduates in Operations Research earn 4 years after completion?</t>
  </si>
  <si>
    <t>Data is not in the source</t>
  </si>
  <si>
    <t>I don’t have a master’s-level earnings figure in the provided program data. For reference, the retrieved national median earnings for a Bachelor’s in Operations Research (4 years after completion) is $122,531. If you’d like, I can look up national median earnings for Operation Research master’s programs (if available) or fetch school-specific master’s outcomes—which would be more helpful?</t>
  </si>
  <si>
    <t>1) The response correctly flags the data gap and offers bachelor's data as a bridge — the only conciseness issue is the compound offer at the end ('look up master's OR fetch school-specific data'); pick the single most likely next step to avoid choice overload. 2) Solid response overall. To push Concise to a 5, trim the closing question to one clear option rather than two branching paths.</t>
  </si>
  <si>
    <t>What is the post graduate earnings figure for Political Science and Government?</t>
  </si>
  <si>
    <t>The national median earnings 4 years after completion for a Bachelor's in Political Science and Government is $63,293. Would you like the master's-level figure or related occupation info too?</t>
  </si>
  <si>
    <t>If I major in Education, General, what are bachelor’s median earnings 4 years after completion?</t>
  </si>
  <si>
    <t>The national median earnings 4 years after completing a bachelor's in Education, General is $49,808.</t>
  </si>
  <si>
    <t>1) Correct and clean — Actionable score is limited because the number stands alone with no context; add a benchmark like 'below the median for all bachelor's graduates (~$52K)' to help users interpret the figure. 2) A one-line follow-up offer (e.g., 'Want to see how this compares to related fields like Educational Administration or Special Education?') would turn this into a genuinely decision-useful response.</t>
  </si>
  <si>
    <t>Which pays more at the bachelor’s level: Economics or Business Administration, Management and Operations?</t>
  </si>
  <si>
    <t>Economics: $82,686; Business Admin: $68,257; Economics is higher</t>
  </si>
  <si>
    <t>Economics pays more. National median earnings 4 years after completion: Economics (Bachelor’s) $82,686 vs. Business Administration, Management and Operations (Bachelor’s) $68,257 — about $14,400 higher for Economics.</t>
  </si>
  <si>
    <t>1) Excellent response — all figures correct and the $14,400 gap is a strong detail; to earn a 5 on Actionable, add an interpretive note (e.g., 'that gap compounds significantly over a career') or a decision framing (e.g., 'factor in that business degrees often have more direct hiring pipelines'). 2) Minor style note: 'about $14,400' is slightly imprecise vs. exact ($14,429); using the exact figure would strengthen credibility on high-precision queries.</t>
  </si>
  <si>
    <t>Between Industrial Engineering and Mechanical Engineering, which has higher bachelor’s earnings?</t>
  </si>
  <si>
    <t>Industrial Engineering: $98,442; Mechanical Engineering: $92,135; Industrial Engineering is higher</t>
  </si>
  <si>
    <t>Industrial Engineering. National median earnings 4 years after completion (Bachelor’s): Industrial Engineering $98,442 vs. Mechanical Engineering $92,135 — about $6,300 higher for Industrial Engineering.</t>
  </si>
  <si>
    <t>1) Response is accurate and well-structured; to push Actionable to a 5, add career context (e.g., 'IE's broader scope — supply chain, operations, healthcare — may explain the premium and opens more industry doors'). 2) The '$6,300 higher' figure is slightly rounded ($6,307 exact) — using the precise difference signals rigor and avoids any perception of approximation on a data-lookup query.</t>
  </si>
  <si>
    <t>What can I do with an Industrial Engineering degree? Compare career paths, occupations, salaries, and degree levels related to Industrial Engineering.</t>
  </si>
  <si>
    <t>Industrial Engineering; bachelor's earnings $98,442; master's earnings $119,184; related occupation Industrial Engineers; occupation median wage $101,140</t>
  </si>
  <si>
    <t>Short answer: Industrial Engineering (Bachelor’s) leads mainly to Industrial Engineer roles and related operations/efficiency careers. National median earnings 4 years after finishing a bachelor’s in Industrial Engineering are $98,442; the primary related occupation (Industrial Engineers, SOC 17‑2112) has an OEWS median wage of $101,140 and large employment (~350,230).
Key career paths and where they lead:
- Operations / Manufacturing: process design, production planning, continuous improvement — typical job title: Industrial Engineer; strong pay and hiring in manufacturing and heavy industry.  
- Supply Chain &amp; Logistics: inventory optimization, distribution, materials planning — roles in logistics manager/analyst and operations planning.  
- Quality &amp; Reliability Engineering: quality systems, Six Sigma, reliability testing — roles in quality engineer and process improvement.  
- Analytics, Consulting &amp; Healthcare Systems: data-driven optimization, simulation, workflow design — roles in operations research analyst, management consultant, or healthcare process engineer.
I only have bachelor’s-level program earnings and the OEWS occupation wage above. If you want, I can pull master’s-level outcomes, more related occupations (with wages), or school-specific placement/salary data.</t>
  </si>
  <si>
    <t>1) The answer key requires master's earnings ($119,184) — the response explicitly says it lacks master's data, but the reference data includes it; ensure the RAG retrieval pipeline surfaces master's-level program data so this gap is closed. 2) The response is somewhat long with four career-path bullets and an offer at the end — for a compare/career question, a tighter structure (earnings table → top 2 career paths → one follow-up offer) would improve Concise without sacrificing completeness.</t>
  </si>
  <si>
    <t>Compare Computer Science and Industrial Engineering for earnings and common occupations.</t>
  </si>
  <si>
    <t>Computer Science bachelor's $107,009, master's $145,571, occupation Software Developers, wage $133,080; Industrial Engineering bachelor's $98,442, master's $119,184, occupation Industrial Engineers, wage $101,140</t>
  </si>
  <si>
    <t>Computer Science (Bachelor’s) has higher median earnings 4 years after completion: $107,009 vs. Industrial Engineering (Bachelor’s) $98,442 — about $8.6K higher for CS.  
Common occupations and pay: Computer Science grads most often feed into Software Developer roles (SOC 15‑1252) with an OEWS median wage ~$133,080 and very large employment (~1.65M). Industrial Engineering grads most often become Industrial Engineers (SOC 17‑2112) with an OEWS median wage ~$101,140 and employment around 350,230.  
If you want, I can compare industry sectors, typical entry job titles, or long‑term career trajectories (management, data science, manufacturing leadership) for each major.</t>
  </si>
  <si>
    <t>1) All key figures are present and accurate — Concise score is a 4 because the employment figures (~1.65M for CS, ~350K for IE) are unrequested additions that slightly bloat the response; trim to core earnings + occupation + wage unless asked. 2) Strong actionable close ('compare industry sectors, entry job titles, or long-term trajectories') — make it even sharper by recommending the single most decision-relevant follow-up rather than listing three options.</t>
  </si>
  <si>
    <t>Compare Political Science and Government with Public Policy Analysis for career outcomes.</t>
  </si>
  <si>
    <t>Political Science and Government: bachelor's $63,293, master's $78,850; Public Policy Analysis: bachelor's $73,721, master's $93,020; Public Policy is higher at both levels</t>
  </si>
  <si>
    <t>Brief comparison — career outcomes (Bachelor’s):
- Earnings and typical roles: Public Policy Analysis median earnings 4 years after completion: $73,721. Common related occupation in the program data: Medical and Health Services Managers (OEWS median wage $117,960) — reflecting routes into healthcare administration, program management, and applied policy roles. Political Science and Government median earnings 4 years after completion: $63,293. A top related occupation shown in the data is Secondary School Teachers (OEWS median wage $64,580), reflecting paths into education, public service, and government staffing.
- Typical career paths and focus: Public Policy Analysis graduates often move into policy analyst/program evaluation roles in government, think tanks, nonprofits, or healthcare/public-sector administration (more applied, data- and program-oriented). Political Science graduates commonly enter government and legislative staff work, advocacy, education, law school, and broader public affairs or research roles (more theoretical/political systems emphasis).
If you want, I can list more related occupations with wages for each major, or show how outcomes change with a master’s or law degree.</t>
  </si>
  <si>
    <t>1) The answer key includes master's earnings for both majors (PolSci $78,850, Public Policy $93,020) — the response omits these entirely despite the question asking for 'career outcomes'; surface master's-level data to fully answer the scope of the question. 2) The occupation examples (Medical/Health Services Managers for Public Policy, Secondary School Teachers for PolSci) are interesting but feel scattered — lead with the earnings comparison table first, then occupations, so the structure matches how users process a comparison question.</t>
  </si>
  <si>
    <t>Which has better bachelor's-level earnings: Economics or Business Administration, Management and Operations?</t>
  </si>
  <si>
    <t>Economics bachelor's $82,686; Business Administration, Management and Operations bachelor's $68,257; Economics is higher</t>
  </si>
  <si>
    <t>Economics has higher bachelor’s-level earnings. National median 4 years after completion: Economics (B.A./B.S.) $82,686 vs. Business Administration, Management and Operations (B.A./B.S.) $68,257 — about $14,400 more for Economics.</t>
  </si>
  <si>
    <t>1) Accurate and clean — nearly identical to question 15; to push Actionable to a 5, add one decision-useful insight beyond the gap, such as 'Economics graduates are more likely to pursue graduate degrees, which amplifies the earnings advantage over time.' 2) 'About $14,400 more' is slightly imprecise ($14,429 exact) — use the precise figure for full rigor on a data-lookup response.</t>
  </si>
  <si>
    <t>Avg (Accuracy=1):</t>
  </si>
  <si>
    <t>1) The answer key shows $78,850 and the response states $63,293. The question intended master's earnings ($78,850 per reference data). The response should have returned master's data.</t>
  </si>
  <si>
    <t>1) The query returned the lowest out-of-state tuition in a set ($6,660 for University of the Potomac-VA Campus) instead of filtering specifically to Virginia Tech ($37,764) — fix the SQL to match on 'Virginia Polytechnic Institute and State University' by name. 2) The response never mentioned Virginia Tech by name, which is a clear signal the query misfired.</t>
  </si>
  <si>
    <t xml:space="preserve">1) The SQL query returned results for the wrong institutions entirely (East Georgia State College instead of Georgia Tech; no Purdue at all) — fix the WHERE clause to filter by exact institution names 'Georgia Institute of Technology-Main Campus' and 'Purdue University-Main Campus'. 2) The response framed wrong results confidently without flagging uncertainty. </t>
  </si>
  <si>
    <t>Accuracy</t>
  </si>
  <si>
    <t>Exact Q</t>
  </si>
  <si>
    <t>Clear?</t>
  </si>
  <si>
    <t>Concise?</t>
  </si>
  <si>
    <t>Actionable?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</si>
</sst>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charset val="1"/>
    </font>
    <font>
      <sz val="13"/>
      <color theme="1"/>
      <name val="Arial"/>
      <family val="2"/>
      <charset val="1"/>
    </font>
    <font>
      <b/>
      <sz val="12"/>
      <name val="Aptos Narrow"/>
    </font>
    <font>
      <b/>
      <i/>
      <sz val="11"/>
      <name val="Cambria"/>
      <family val="1"/>
    </font>
    <font>
      <b/>
      <sz val="11"/>
      <name val="Cambria"/>
      <family val="1"/>
    </font>
    <font>
      <b/>
      <sz val="13"/>
      <color theme="1"/>
      <name val="Arial"/>
      <family val="2"/>
    </font>
  </fonts>
  <fills count="6">
    <fill>
      <patternFill patternType="none"/>
    </fill>
    <fill>
      <patternFill patternType="gray125"/>
    </fill>
    <fill>
      <patternFill patternType="solid">
        <fgColor rgb="FFC6EFCE"/>
        <bgColor rgb="FFE2EFDA"/>
      </patternFill>
    </fill>
    <fill>
      <patternFill patternType="solid">
        <fgColor rgb="FFE2EFDA"/>
        <bgColor rgb="FFC6EFCE"/>
      </patternFill>
    </fill>
    <fill>
      <patternFill patternType="solid">
        <fgColor rgb="FFFFC7CE"/>
        <bgColor rgb="FFFFEB9C"/>
      </patternFill>
    </fill>
    <fill>
      <patternFill patternType="solid">
        <fgColor rgb="FFFFEB9C"/>
        <bgColor rgb="FFE2EFDA"/>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2" fontId="2" fillId="2" borderId="0" xfId="0" applyNumberFormat="1" applyFont="1" applyFill="1" applyAlignment="1">
      <alignment horizontal="center" vertical="center"/>
    </xf>
    <xf numFmtId="2" fontId="2" fillId="3" borderId="0" xfId="0" applyNumberFormat="1" applyFont="1" applyFill="1" applyAlignment="1">
      <alignment horizontal="center" vertical="center"/>
    </xf>
    <xf numFmtId="2" fontId="2" fillId="4" borderId="0" xfId="0" applyNumberFormat="1" applyFont="1" applyFill="1" applyAlignment="1">
      <alignment horizontal="center" vertical="center"/>
    </xf>
    <xf numFmtId="2" fontId="2" fillId="5" borderId="0" xfId="0" applyNumberFormat="1" applyFont="1" applyFill="1" applyAlignment="1">
      <alignment horizontal="center" vertical="center"/>
    </xf>
    <xf numFmtId="0" fontId="3" fillId="0" borderId="0" xfId="0" applyFont="1" applyAlignment="1">
      <alignment horizontal="right"/>
    </xf>
    <xf numFmtId="0" fontId="4" fillId="0" borderId="0" xfId="0" applyFont="1" applyAlignment="1">
      <alignment horizontal="center"/>
    </xf>
    <xf numFmtId="0" fontId="5" fillId="0" borderId="0" xfId="0" applyFont="1"/>
    <xf numFmtId="0" fontId="5"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2EFD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638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
  <sheetViews>
    <sheetView tabSelected="1" zoomScale="67" zoomScaleNormal="67" workbookViewId="0">
      <selection activeCell="D31" sqref="D31"/>
    </sheetView>
  </sheetViews>
  <sheetFormatPr baseColWidth="10" defaultColWidth="10.5" defaultRowHeight="16" x14ac:dyDescent="0.2"/>
  <cols>
    <col min="1" max="1" width="15" customWidth="1"/>
    <col min="2" max="2" width="27.83203125" style="1" customWidth="1"/>
    <col min="3" max="3" width="30.1640625" style="1" customWidth="1"/>
    <col min="4" max="4" width="62" style="1" customWidth="1"/>
    <col min="5" max="5" width="15.6640625" customWidth="1"/>
    <col min="6" max="8" width="12" customWidth="1"/>
    <col min="9" max="9" width="13.6640625" customWidth="1"/>
    <col min="10" max="10" width="70" style="1" customWidth="1"/>
  </cols>
  <sheetData>
    <row r="1" spans="1:10" ht="18" x14ac:dyDescent="0.2">
      <c r="A1" s="10" t="s">
        <v>0</v>
      </c>
      <c r="B1" s="11" t="s">
        <v>1</v>
      </c>
      <c r="C1" s="11" t="s">
        <v>2</v>
      </c>
      <c r="D1" s="11" t="s">
        <v>3</v>
      </c>
      <c r="E1" s="10" t="s">
        <v>77</v>
      </c>
      <c r="F1" s="10" t="s">
        <v>78</v>
      </c>
      <c r="G1" s="10" t="s">
        <v>79</v>
      </c>
      <c r="H1" s="10" t="s">
        <v>80</v>
      </c>
      <c r="I1" s="10" t="s">
        <v>81</v>
      </c>
      <c r="J1" s="11" t="s">
        <v>4</v>
      </c>
    </row>
    <row r="2" spans="1:10" ht="108" customHeight="1" x14ac:dyDescent="0.2">
      <c r="A2" s="2">
        <v>1</v>
      </c>
      <c r="B2" s="3" t="s">
        <v>5</v>
      </c>
      <c r="C2" s="3">
        <v>51373</v>
      </c>
      <c r="D2" s="3" t="s">
        <v>6</v>
      </c>
      <c r="E2" s="4">
        <v>1</v>
      </c>
      <c r="F2" s="4">
        <v>4</v>
      </c>
      <c r="G2" s="4">
        <v>5</v>
      </c>
      <c r="H2" s="5">
        <v>5</v>
      </c>
      <c r="I2" s="5">
        <v>4</v>
      </c>
      <c r="J2" s="3" t="s">
        <v>7</v>
      </c>
    </row>
    <row r="3" spans="1:10" ht="108" x14ac:dyDescent="0.2">
      <c r="A3" s="2">
        <v>2</v>
      </c>
      <c r="B3" s="3" t="s">
        <v>8</v>
      </c>
      <c r="C3" s="3">
        <v>0.129</v>
      </c>
      <c r="D3" s="3" t="s">
        <v>9</v>
      </c>
      <c r="E3" s="4">
        <v>1</v>
      </c>
      <c r="F3" s="4">
        <v>4</v>
      </c>
      <c r="G3" s="4">
        <v>5</v>
      </c>
      <c r="H3" s="5">
        <v>4</v>
      </c>
      <c r="I3" s="5">
        <v>4</v>
      </c>
      <c r="J3" s="3" t="s">
        <v>10</v>
      </c>
    </row>
    <row r="4" spans="1:10" ht="108" x14ac:dyDescent="0.2">
      <c r="A4" s="2">
        <v>3</v>
      </c>
      <c r="B4" s="3" t="s">
        <v>11</v>
      </c>
      <c r="C4" s="3">
        <v>82860</v>
      </c>
      <c r="D4" s="3" t="s">
        <v>12</v>
      </c>
      <c r="E4" s="4">
        <v>1</v>
      </c>
      <c r="F4" s="4">
        <v>4</v>
      </c>
      <c r="G4" s="4">
        <v>5</v>
      </c>
      <c r="H4" s="5">
        <v>4</v>
      </c>
      <c r="I4" s="5">
        <v>4</v>
      </c>
      <c r="J4" s="3" t="s">
        <v>13</v>
      </c>
    </row>
    <row r="5" spans="1:10" ht="108" x14ac:dyDescent="0.2">
      <c r="A5" s="2">
        <v>4</v>
      </c>
      <c r="B5" s="3" t="s">
        <v>14</v>
      </c>
      <c r="C5" s="3">
        <v>19200</v>
      </c>
      <c r="D5" s="3" t="s">
        <v>15</v>
      </c>
      <c r="E5" s="4">
        <v>1</v>
      </c>
      <c r="F5" s="4">
        <v>4</v>
      </c>
      <c r="G5" s="4">
        <v>5</v>
      </c>
      <c r="H5" s="5">
        <v>5</v>
      </c>
      <c r="I5" s="5">
        <v>4</v>
      </c>
      <c r="J5" s="3" t="s">
        <v>16</v>
      </c>
    </row>
    <row r="6" spans="1:10" ht="198" x14ac:dyDescent="0.2">
      <c r="A6" s="2">
        <v>5</v>
      </c>
      <c r="B6" s="3" t="s">
        <v>17</v>
      </c>
      <c r="C6" s="3" t="s">
        <v>18</v>
      </c>
      <c r="D6" s="3" t="s">
        <v>19</v>
      </c>
      <c r="E6" s="6">
        <v>0</v>
      </c>
      <c r="F6" s="6" t="s">
        <v>20</v>
      </c>
      <c r="G6" s="6" t="s">
        <v>20</v>
      </c>
      <c r="H6" s="6" t="s">
        <v>20</v>
      </c>
      <c r="I6" s="6" t="s">
        <v>20</v>
      </c>
      <c r="J6" s="3" t="s">
        <v>76</v>
      </c>
    </row>
    <row r="7" spans="1:10" ht="18" x14ac:dyDescent="0.2">
      <c r="A7" s="10" t="s">
        <v>0</v>
      </c>
      <c r="B7" s="11" t="s">
        <v>1</v>
      </c>
      <c r="C7" s="11" t="s">
        <v>2</v>
      </c>
      <c r="D7" s="11" t="s">
        <v>3</v>
      </c>
      <c r="E7" s="10" t="s">
        <v>77</v>
      </c>
      <c r="F7" s="10" t="s">
        <v>78</v>
      </c>
      <c r="G7" s="10" t="s">
        <v>79</v>
      </c>
      <c r="H7" s="10" t="s">
        <v>80</v>
      </c>
      <c r="I7" s="10" t="s">
        <v>81</v>
      </c>
      <c r="J7" s="11" t="s">
        <v>4</v>
      </c>
    </row>
    <row r="8" spans="1:10" ht="198" x14ac:dyDescent="0.2">
      <c r="A8" s="2">
        <v>6</v>
      </c>
      <c r="B8" s="3" t="s">
        <v>21</v>
      </c>
      <c r="C8" s="3">
        <v>37764</v>
      </c>
      <c r="D8" s="3" t="s">
        <v>22</v>
      </c>
      <c r="E8" s="6">
        <v>0</v>
      </c>
      <c r="F8" s="6" t="s">
        <v>20</v>
      </c>
      <c r="G8" s="6" t="s">
        <v>20</v>
      </c>
      <c r="H8" s="6" t="s">
        <v>20</v>
      </c>
      <c r="I8" s="6" t="s">
        <v>20</v>
      </c>
      <c r="J8" s="3" t="s">
        <v>75</v>
      </c>
    </row>
    <row r="9" spans="1:10" ht="132" customHeight="1" x14ac:dyDescent="0.2">
      <c r="A9" s="2">
        <v>7</v>
      </c>
      <c r="B9" s="3" t="s">
        <v>23</v>
      </c>
      <c r="C9" s="3">
        <v>0.78900000000000003</v>
      </c>
      <c r="D9" s="3" t="s">
        <v>24</v>
      </c>
      <c r="E9" s="4">
        <v>1</v>
      </c>
      <c r="F9" s="4">
        <v>5</v>
      </c>
      <c r="G9" s="4">
        <v>5</v>
      </c>
      <c r="H9" s="4">
        <v>5</v>
      </c>
      <c r="I9" s="7">
        <v>3</v>
      </c>
      <c r="J9" s="3" t="s">
        <v>25</v>
      </c>
    </row>
    <row r="10" spans="1:10" ht="144" x14ac:dyDescent="0.2">
      <c r="A10" s="2">
        <v>8</v>
      </c>
      <c r="B10" s="3" t="s">
        <v>26</v>
      </c>
      <c r="C10" s="3" t="s">
        <v>27</v>
      </c>
      <c r="D10" s="3" t="s">
        <v>28</v>
      </c>
      <c r="E10" s="4">
        <v>1</v>
      </c>
      <c r="F10" s="5">
        <v>3</v>
      </c>
      <c r="G10" s="4">
        <v>5</v>
      </c>
      <c r="H10" s="5">
        <v>5</v>
      </c>
      <c r="I10" s="7">
        <v>3</v>
      </c>
      <c r="J10" s="3" t="s">
        <v>29</v>
      </c>
    </row>
    <row r="11" spans="1:10" ht="108" x14ac:dyDescent="0.2">
      <c r="A11" s="2">
        <v>9</v>
      </c>
      <c r="B11" s="3" t="s">
        <v>30</v>
      </c>
      <c r="C11" s="3">
        <v>19756</v>
      </c>
      <c r="D11" s="3" t="s">
        <v>31</v>
      </c>
      <c r="E11" s="4">
        <v>1</v>
      </c>
      <c r="F11" s="4">
        <v>4</v>
      </c>
      <c r="G11" s="4">
        <v>5</v>
      </c>
      <c r="H11" s="5">
        <v>5</v>
      </c>
      <c r="I11" s="5">
        <v>4</v>
      </c>
      <c r="J11" s="3" t="s">
        <v>32</v>
      </c>
    </row>
    <row r="12" spans="1:10" ht="180" x14ac:dyDescent="0.2">
      <c r="A12" s="2">
        <v>10</v>
      </c>
      <c r="B12" s="3" t="s">
        <v>33</v>
      </c>
      <c r="C12" s="3" t="s">
        <v>34</v>
      </c>
      <c r="D12" s="3" t="s">
        <v>35</v>
      </c>
      <c r="E12" s="4">
        <v>1</v>
      </c>
      <c r="F12" s="4">
        <v>4</v>
      </c>
      <c r="G12" s="4">
        <v>5</v>
      </c>
      <c r="H12" s="5">
        <v>4</v>
      </c>
      <c r="I12" s="5">
        <v>4</v>
      </c>
      <c r="J12" s="3" t="s">
        <v>36</v>
      </c>
    </row>
    <row r="13" spans="1:10" ht="18" x14ac:dyDescent="0.2">
      <c r="A13" s="10" t="s">
        <v>0</v>
      </c>
      <c r="B13" s="11" t="s">
        <v>1</v>
      </c>
      <c r="C13" s="11" t="s">
        <v>2</v>
      </c>
      <c r="D13" s="11" t="s">
        <v>3</v>
      </c>
      <c r="E13" s="10" t="s">
        <v>77</v>
      </c>
      <c r="F13" s="10" t="s">
        <v>78</v>
      </c>
      <c r="G13" s="10" t="s">
        <v>79</v>
      </c>
      <c r="H13" s="10" t="s">
        <v>80</v>
      </c>
      <c r="I13" s="10" t="s">
        <v>81</v>
      </c>
      <c r="J13" s="11" t="s">
        <v>4</v>
      </c>
    </row>
    <row r="14" spans="1:10" ht="108" x14ac:dyDescent="0.2">
      <c r="A14" s="2">
        <v>11</v>
      </c>
      <c r="B14" s="3" t="s">
        <v>37</v>
      </c>
      <c r="C14" s="3">
        <v>98442</v>
      </c>
      <c r="D14" s="3" t="s">
        <v>38</v>
      </c>
      <c r="E14" s="4">
        <v>1</v>
      </c>
      <c r="F14" s="4">
        <v>5</v>
      </c>
      <c r="G14" s="4">
        <v>5</v>
      </c>
      <c r="H14" s="4">
        <v>5</v>
      </c>
      <c r="I14" s="7">
        <v>3</v>
      </c>
      <c r="J14" s="3" t="s">
        <v>39</v>
      </c>
    </row>
    <row r="15" spans="1:10" ht="252" x14ac:dyDescent="0.2">
      <c r="A15" s="2">
        <v>12</v>
      </c>
      <c r="B15" s="3" t="s">
        <v>40</v>
      </c>
      <c r="C15" s="3" t="s">
        <v>41</v>
      </c>
      <c r="D15" s="3" t="s">
        <v>42</v>
      </c>
      <c r="E15" s="4">
        <v>1</v>
      </c>
      <c r="F15" s="5">
        <v>5</v>
      </c>
      <c r="G15" s="4">
        <v>5</v>
      </c>
      <c r="H15" s="5">
        <v>4</v>
      </c>
      <c r="I15" s="4">
        <v>5</v>
      </c>
      <c r="J15" s="3" t="s">
        <v>43</v>
      </c>
    </row>
    <row r="16" spans="1:10" ht="126" x14ac:dyDescent="0.2">
      <c r="A16" s="2">
        <v>13</v>
      </c>
      <c r="B16" s="3" t="s">
        <v>44</v>
      </c>
      <c r="C16" s="3">
        <v>78850</v>
      </c>
      <c r="D16" s="3" t="s">
        <v>45</v>
      </c>
      <c r="E16" s="6">
        <v>0</v>
      </c>
      <c r="F16" s="6" t="s">
        <v>20</v>
      </c>
      <c r="G16" s="6" t="s">
        <v>20</v>
      </c>
      <c r="H16" s="6" t="s">
        <v>20</v>
      </c>
      <c r="I16" s="6" t="s">
        <v>20</v>
      </c>
      <c r="J16" s="3" t="s">
        <v>74</v>
      </c>
    </row>
    <row r="17" spans="1:10" ht="126" x14ac:dyDescent="0.2">
      <c r="A17" s="2">
        <v>14</v>
      </c>
      <c r="B17" s="3" t="s">
        <v>46</v>
      </c>
      <c r="C17" s="3">
        <v>49808</v>
      </c>
      <c r="D17" s="3" t="s">
        <v>47</v>
      </c>
      <c r="E17" s="4">
        <v>1</v>
      </c>
      <c r="F17" s="4">
        <v>5</v>
      </c>
      <c r="G17" s="4">
        <v>5</v>
      </c>
      <c r="H17" s="4">
        <v>5</v>
      </c>
      <c r="I17" s="7">
        <v>3</v>
      </c>
      <c r="J17" s="3" t="s">
        <v>48</v>
      </c>
    </row>
    <row r="18" spans="1:10" ht="162" x14ac:dyDescent="0.2">
      <c r="A18" s="2">
        <v>15</v>
      </c>
      <c r="B18" s="3" t="s">
        <v>49</v>
      </c>
      <c r="C18" s="3" t="s">
        <v>50</v>
      </c>
      <c r="D18" s="3" t="s">
        <v>51</v>
      </c>
      <c r="E18" s="4">
        <v>1</v>
      </c>
      <c r="F18" s="4">
        <v>5</v>
      </c>
      <c r="G18" s="4">
        <v>5</v>
      </c>
      <c r="H18" s="5">
        <v>5</v>
      </c>
      <c r="I18" s="5">
        <v>4</v>
      </c>
      <c r="J18" s="3" t="s">
        <v>52</v>
      </c>
    </row>
    <row r="19" spans="1:10" ht="18" x14ac:dyDescent="0.2">
      <c r="A19" s="10" t="s">
        <v>0</v>
      </c>
      <c r="B19" s="11" t="s">
        <v>1</v>
      </c>
      <c r="C19" s="11" t="s">
        <v>2</v>
      </c>
      <c r="D19" s="11" t="s">
        <v>3</v>
      </c>
      <c r="E19" s="10" t="s">
        <v>77</v>
      </c>
      <c r="F19" s="10" t="s">
        <v>78</v>
      </c>
      <c r="G19" s="10" t="s">
        <v>79</v>
      </c>
      <c r="H19" s="10" t="s">
        <v>80</v>
      </c>
      <c r="I19" s="10" t="s">
        <v>81</v>
      </c>
      <c r="J19" s="11" t="s">
        <v>4</v>
      </c>
    </row>
    <row r="20" spans="1:10" ht="162" x14ac:dyDescent="0.2">
      <c r="A20" s="2">
        <v>16</v>
      </c>
      <c r="B20" s="3" t="s">
        <v>53</v>
      </c>
      <c r="C20" s="3" t="s">
        <v>54</v>
      </c>
      <c r="D20" s="3" t="s">
        <v>55</v>
      </c>
      <c r="E20" s="4">
        <v>1</v>
      </c>
      <c r="F20" s="4">
        <v>5</v>
      </c>
      <c r="G20" s="4">
        <v>5</v>
      </c>
      <c r="H20" s="5">
        <v>5</v>
      </c>
      <c r="I20" s="5">
        <v>4</v>
      </c>
      <c r="J20" s="3" t="s">
        <v>56</v>
      </c>
    </row>
    <row r="21" spans="1:10" ht="409.6" x14ac:dyDescent="0.2">
      <c r="A21" s="2">
        <v>17</v>
      </c>
      <c r="B21" s="3" t="s">
        <v>57</v>
      </c>
      <c r="C21" s="3" t="s">
        <v>58</v>
      </c>
      <c r="D21" s="3" t="s">
        <v>59</v>
      </c>
      <c r="E21" s="4">
        <v>1</v>
      </c>
      <c r="F21" s="5">
        <v>3</v>
      </c>
      <c r="G21" s="5">
        <v>5</v>
      </c>
      <c r="H21" s="7">
        <v>3</v>
      </c>
      <c r="I21" s="4">
        <v>5</v>
      </c>
      <c r="J21" s="3" t="s">
        <v>60</v>
      </c>
    </row>
    <row r="22" spans="1:10" ht="288" x14ac:dyDescent="0.2">
      <c r="A22" s="2">
        <v>18</v>
      </c>
      <c r="B22" s="3" t="s">
        <v>61</v>
      </c>
      <c r="C22" s="3" t="s">
        <v>62</v>
      </c>
      <c r="D22" s="3" t="s">
        <v>63</v>
      </c>
      <c r="E22" s="4">
        <v>1</v>
      </c>
      <c r="F22" s="4">
        <v>5</v>
      </c>
      <c r="G22" s="4">
        <v>5</v>
      </c>
      <c r="H22" s="7">
        <v>4</v>
      </c>
      <c r="I22" s="4">
        <v>5</v>
      </c>
      <c r="J22" s="3" t="s">
        <v>64</v>
      </c>
    </row>
    <row r="23" spans="1:10" ht="18" x14ac:dyDescent="0.2">
      <c r="A23" s="10" t="s">
        <v>0</v>
      </c>
      <c r="B23" s="11" t="s">
        <v>1</v>
      </c>
      <c r="C23" s="11" t="s">
        <v>2</v>
      </c>
      <c r="D23" s="11" t="s">
        <v>3</v>
      </c>
      <c r="E23" s="10" t="s">
        <v>77</v>
      </c>
      <c r="F23" s="10" t="s">
        <v>78</v>
      </c>
      <c r="G23" s="10" t="s">
        <v>79</v>
      </c>
      <c r="H23" s="10" t="s">
        <v>80</v>
      </c>
      <c r="I23" s="10" t="s">
        <v>81</v>
      </c>
      <c r="J23" s="11" t="s">
        <v>4</v>
      </c>
    </row>
    <row r="24" spans="1:10" ht="409.6" x14ac:dyDescent="0.2">
      <c r="A24" s="2">
        <v>19</v>
      </c>
      <c r="B24" s="3" t="s">
        <v>65</v>
      </c>
      <c r="C24" s="3" t="s">
        <v>66</v>
      </c>
      <c r="D24" s="3" t="s">
        <v>67</v>
      </c>
      <c r="E24" s="4">
        <v>1</v>
      </c>
      <c r="F24" s="5">
        <v>3</v>
      </c>
      <c r="G24" s="5">
        <v>4</v>
      </c>
      <c r="H24" s="7">
        <v>3</v>
      </c>
      <c r="I24" s="4">
        <v>4</v>
      </c>
      <c r="J24" s="3" t="s">
        <v>68</v>
      </c>
    </row>
    <row r="25" spans="1:10" ht="162" x14ac:dyDescent="0.2">
      <c r="A25" s="2">
        <v>20</v>
      </c>
      <c r="B25" s="3" t="s">
        <v>69</v>
      </c>
      <c r="C25" s="3" t="s">
        <v>70</v>
      </c>
      <c r="D25" s="3" t="s">
        <v>71</v>
      </c>
      <c r="E25" s="4">
        <v>1</v>
      </c>
      <c r="F25" s="4">
        <v>5</v>
      </c>
      <c r="G25" s="4">
        <v>5</v>
      </c>
      <c r="H25" s="5">
        <v>5</v>
      </c>
      <c r="I25" s="5">
        <v>4</v>
      </c>
      <c r="J25" s="3" t="s">
        <v>72</v>
      </c>
    </row>
    <row r="26" spans="1:10" x14ac:dyDescent="0.2">
      <c r="E26" s="8" t="s">
        <v>73</v>
      </c>
      <c r="F26" s="9">
        <f>AVERAGEIF(E2:E25,1,F2:F25)</f>
        <v>4.2941176470588234</v>
      </c>
      <c r="G26" s="9">
        <f>AVERAGEIF(E2:E25,1,G2:G25)</f>
        <v>4.9411764705882355</v>
      </c>
      <c r="H26" s="9">
        <f>AVERAGEIF(E2:E25,1,H2:H25)</f>
        <v>4.4705882352941178</v>
      </c>
      <c r="I26" s="9">
        <f>AVERAGEIF(E2:E25,1,I2:I25)</f>
        <v>3.9411764705882355</v>
      </c>
    </row>
  </sheetData>
  <pageMargins left="0.25" right="0.25" top="0.75" bottom="0.75" header="0.3" footer="0.3"/>
  <pageSetup paperSize="9"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Cooper, Benjamin David</dc:creator>
  <dc:description/>
  <cp:lastModifiedBy>Cooper, Benjamin David</cp:lastModifiedBy>
  <cp:revision>0</cp:revision>
  <dcterms:created xsi:type="dcterms:W3CDTF">2026-04-26T23:02:34Z</dcterms:created>
  <dcterms:modified xsi:type="dcterms:W3CDTF">2026-05-01T11:27:42Z</dcterms:modified>
  <dc:language>en-US</dc:language>
</cp:coreProperties>
</file>